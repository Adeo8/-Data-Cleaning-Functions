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5"/>
  </bookViews>
  <sheets>
    <sheet name="QUESTION2" sheetId="1" r:id="rId1"/>
    <sheet name="Question3" sheetId="2" r:id="rId2"/>
    <sheet name="QUESTION5" sheetId="4" r:id="rId3"/>
    <sheet name="QUESTION 6" sheetId="5" r:id="rId4"/>
    <sheet name="QUESTION7" sheetId="6" r:id="rId5"/>
    <sheet name="Sheet7" sheetId="7" r:id="rId6"/>
  </sheets>
  <calcPr calcId="125725"/>
</workbook>
</file>

<file path=xl/calcChain.xml><?xml version="1.0" encoding="utf-8"?>
<calcChain xmlns="http://schemas.openxmlformats.org/spreadsheetml/2006/main">
  <c r="H12" i="2"/>
  <c r="H11"/>
  <c r="H10"/>
  <c r="H9"/>
  <c r="H8"/>
</calcChain>
</file>

<file path=xl/sharedStrings.xml><?xml version="1.0" encoding="utf-8"?>
<sst xmlns="http://schemas.openxmlformats.org/spreadsheetml/2006/main" count="104" uniqueCount="91">
  <si>
    <t>Employee</t>
  </si>
  <si>
    <t>Department</t>
  </si>
  <si>
    <t>Salary</t>
  </si>
  <si>
    <t>Rahul</t>
  </si>
  <si>
    <t>Sonu</t>
  </si>
  <si>
    <t>Pranav</t>
  </si>
  <si>
    <t>HR</t>
  </si>
  <si>
    <t>IT</t>
  </si>
  <si>
    <t>Functions</t>
  </si>
  <si>
    <t>Values</t>
  </si>
  <si>
    <t>1. Trim</t>
  </si>
  <si>
    <t>2. Left</t>
  </si>
  <si>
    <t>3. Right</t>
  </si>
  <si>
    <t>4. Mid</t>
  </si>
  <si>
    <t>5. Concat</t>
  </si>
  <si>
    <t>Customer Name</t>
  </si>
  <si>
    <t>Product Name</t>
  </si>
  <si>
    <t>Category</t>
  </si>
  <si>
    <t>Quantity</t>
  </si>
  <si>
    <t>Unit Price($)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</si>
  <si>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</si>
  <si>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</si>
  <si>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</si>
  <si>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</si>
  <si>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</si>
  <si>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</si>
  <si>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</si>
  <si>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</si>
  <si>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</si>
  <si>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</si>
  <si>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</si>
  <si>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</si>
  <si>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</si>
  <si>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</si>
  <si>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</si>
  <si>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</si>
  <si>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</si>
  <si>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</si>
  <si>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</si>
  <si>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QUESTIONS</t>
  </si>
  <si>
    <t>Particulars</t>
  </si>
  <si>
    <t>Amount</t>
  </si>
  <si>
    <t>1. Extract the first 5 characters from the string "ExcelTipsAreGreat" using the LEFT function.</t>
  </si>
  <si>
    <t>Excel</t>
  </si>
  <si>
    <t>2. Extract the last 4 characters from "DataAnalysis.xlsx" using the RIGHT function.</t>
  </si>
  <si>
    <t>xlsx</t>
  </si>
  <si>
    <t>3. Extract the substring "Tips" from "ExcelTipsAreGreat" using the MID function.</t>
  </si>
  <si>
    <t>Tips</t>
  </si>
  <si>
    <t>4. Count the total number of characters in the string "Hello World!" using the LEN function.</t>
  </si>
  <si>
    <t>5. Create a formula to extract the middle 6 characters from "12345-67890-ABCDE".</t>
  </si>
  <si>
    <t>67890-</t>
  </si>
  <si>
    <t>First Name</t>
  </si>
  <si>
    <t>Last Name</t>
  </si>
  <si>
    <t>Full Name</t>
  </si>
  <si>
    <t>MS</t>
  </si>
  <si>
    <t>Dhoni</t>
  </si>
  <si>
    <t>MS Dhoni</t>
  </si>
  <si>
    <t>Sachin</t>
  </si>
  <si>
    <t>Tendulkar</t>
  </si>
  <si>
    <t>Sachin Tendulkar</t>
  </si>
  <si>
    <t>Virat</t>
  </si>
  <si>
    <t>Kohli</t>
  </si>
  <si>
    <t>Virat Kohli</t>
  </si>
  <si>
    <t>Rohit</t>
  </si>
  <si>
    <t>Sharma</t>
  </si>
  <si>
    <t>Rohit Sharma</t>
  </si>
  <si>
    <t>Suresh</t>
  </si>
  <si>
    <t>Raina</t>
  </si>
  <si>
    <t>Suresh Raina</t>
  </si>
  <si>
    <t>Questions</t>
  </si>
  <si>
    <t>a) Use CONCAT to combine "Hello" and "World" with a space in between.</t>
  </si>
  <si>
    <t>Hello World</t>
  </si>
  <si>
    <t>b) Combine "Apple", "Banana", and "Cherry" into a single string separated by commas using TEXTJOIN.</t>
  </si>
  <si>
    <t>Apple, Banana, Cherry</t>
  </si>
  <si>
    <t>c) Use the &amp; operator to create the string "2025: Excel Functions" by combining "2025", ": ", and "Excel Functions".</t>
  </si>
  <si>
    <t>2025: Excel Functions</t>
  </si>
  <si>
    <t>d) Create a comma-separated list from the range A1:A5 using TEXTJOIN</t>
  </si>
  <si>
    <t>MS, Sachin, Virat, Rohit, Suresh</t>
  </si>
  <si>
    <t>e) Combine first names in column A with last names in column B to create full names in column C.</t>
  </si>
  <si>
    <t>a. What is the difference between TODAY() and NOW() in Excel? Provide an example of when you would use each function.</t>
  </si>
  <si>
    <t>Function</t>
  </si>
  <si>
    <t>What it shows?</t>
  </si>
  <si>
    <t>Example</t>
  </si>
  <si>
    <t>TODAY()</t>
  </si>
  <si>
    <t>Only current date</t>
  </si>
  <si>
    <t>NOW()</t>
  </si>
  <si>
    <t>Current date AND time</t>
  </si>
  <si>
    <t>b. If cell A1 contains the date 2025-06-10, write a formula using TODAY() to determine how many days are left until that date</t>
  </si>
  <si>
    <t>c. Write an Excel formula using NOW() to display the current date and time in the format MM/DD/YYYY HH:MM AM/PM. ́</t>
  </si>
  <si>
    <t>12/13/2025 05:39 AM</t>
  </si>
  <si>
    <t>e. You want to store a static date (today’s date) in a cell without it changing every day. What keyboard shortcut should you use?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</si>
</sst>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theme="1"/>
      <name val="Aptos Narrow"/>
    </font>
    <font>
      <sz val="16"/>
      <color theme="1"/>
      <name val="Aptos Narrow"/>
    </font>
    <font>
      <sz val="11"/>
      <color theme="1"/>
      <name val="Aptos Narrow"/>
    </font>
    <font>
      <b/>
      <sz val="14"/>
      <color theme="1"/>
      <name val="Aptos"/>
    </font>
    <font>
      <b/>
      <sz val="14"/>
      <color theme="1"/>
      <name val="Aptos Narrow"/>
    </font>
    <font>
      <b/>
      <sz val="12"/>
      <color theme="1"/>
      <name val="Aptos Narrow"/>
    </font>
    <font>
      <sz val="14"/>
      <color theme="1"/>
      <name val="Aptos Narrow"/>
    </font>
    <font>
      <b/>
      <sz val="16"/>
      <color theme="1"/>
      <name val="Aptos"/>
    </font>
    <font>
      <sz val="14"/>
      <color theme="1"/>
      <name val="Aptos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4E291"/>
        <bgColor indexed="64"/>
      </patternFill>
    </fill>
    <fill>
      <patternFill patternType="solid">
        <fgColor rgb="FF8ED873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D76DCC"/>
        <bgColor indexed="64"/>
      </patternFill>
    </fill>
    <fill>
      <patternFill patternType="solid">
        <fgColor rgb="FFEA9999"/>
        <bgColor indexed="64"/>
      </patternFill>
    </fill>
  </fills>
  <borders count="3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 wrapText="1"/>
    </xf>
    <xf numFmtId="0" fontId="2" fillId="5" borderId="19" xfId="0" applyFont="1" applyFill="1" applyBorder="1" applyAlignment="1">
      <alignment horizontal="center" wrapText="1"/>
    </xf>
    <xf numFmtId="0" fontId="2" fillId="5" borderId="20" xfId="0" applyFont="1" applyFill="1" applyBorder="1" applyAlignment="1">
      <alignment horizontal="center"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6" fillId="7" borderId="2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2" fillId="6" borderId="10" xfId="0" applyFont="1" applyFill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2" fillId="4" borderId="27" xfId="0" applyFont="1" applyFill="1" applyBorder="1" applyAlignment="1">
      <alignment horizontal="center" wrapText="1"/>
    </xf>
    <xf numFmtId="0" fontId="2" fillId="4" borderId="28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wrapText="1"/>
    </xf>
    <xf numFmtId="0" fontId="2" fillId="5" borderId="27" xfId="0" applyFont="1" applyFill="1" applyBorder="1" applyAlignment="1">
      <alignment horizontal="center" wrapText="1"/>
    </xf>
    <xf numFmtId="0" fontId="2" fillId="5" borderId="28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 wrapText="1"/>
    </xf>
    <xf numFmtId="0" fontId="5" fillId="0" borderId="18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14" fontId="8" fillId="0" borderId="33" xfId="0" applyNumberFormat="1" applyFont="1" applyBorder="1" applyAlignment="1">
      <alignment horizontal="center" wrapText="1"/>
    </xf>
    <xf numFmtId="0" fontId="4" fillId="5" borderId="14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9" fillId="8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14" fontId="8" fillId="0" borderId="6" xfId="0" applyNumberFormat="1" applyFont="1" applyBorder="1" applyAlignment="1">
      <alignment horizontal="center" wrapText="1"/>
    </xf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14" xfId="0" applyFont="1" applyBorder="1"/>
    <xf numFmtId="0" fontId="5" fillId="0" borderId="7" xfId="0" applyFont="1" applyBorder="1" applyAlignment="1">
      <alignment vertical="center" wrapText="1"/>
    </xf>
    <xf numFmtId="14" fontId="6" fillId="0" borderId="10" xfId="0" applyNumberFormat="1" applyFont="1" applyBorder="1" applyAlignment="1">
      <alignment horizont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4" fontId="4" fillId="0" borderId="11" xfId="0" applyNumberFormat="1" applyFont="1" applyBorder="1" applyAlignment="1">
      <alignment wrapText="1"/>
    </xf>
    <xf numFmtId="22" fontId="11" fillId="0" borderId="6" xfId="2" applyNumberFormat="1" applyBorder="1" applyAlignment="1" applyProtection="1">
      <alignment horizontal="center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D:\aditya\Documents\ASSIGNMEN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5"/>
  <sheetViews>
    <sheetView workbookViewId="0">
      <selection activeCell="C25" sqref="C25"/>
    </sheetView>
  </sheetViews>
  <sheetFormatPr defaultRowHeight="15"/>
  <cols>
    <col min="1" max="1" width="10" style="2" customWidth="1"/>
    <col min="2" max="2" width="11.140625" style="2" customWidth="1"/>
    <col min="3" max="16384" width="9.140625" style="2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4</v>
      </c>
      <c r="B3" s="1" t="s">
        <v>6</v>
      </c>
      <c r="C3" s="1">
        <v>4000</v>
      </c>
    </row>
    <row r="4" spans="1:3">
      <c r="A4" s="1" t="s">
        <v>5</v>
      </c>
      <c r="B4" s="1" t="s">
        <v>7</v>
      </c>
      <c r="C4" s="1">
        <v>5000</v>
      </c>
    </row>
    <row r="5" spans="1:3">
      <c r="A5" s="1" t="s">
        <v>3</v>
      </c>
      <c r="B5" s="1" t="s">
        <v>7</v>
      </c>
      <c r="C5" s="1">
        <v>2500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G7:H12"/>
  <sheetViews>
    <sheetView workbookViewId="0">
      <selection activeCell="H13" sqref="H13"/>
    </sheetView>
  </sheetViews>
  <sheetFormatPr defaultRowHeight="15"/>
  <cols>
    <col min="7" max="7" width="11.5703125" customWidth="1"/>
    <col min="8" max="8" width="14.140625" customWidth="1"/>
  </cols>
  <sheetData>
    <row r="7" spans="7:8">
      <c r="G7" t="s">
        <v>8</v>
      </c>
      <c r="H7" t="s">
        <v>9</v>
      </c>
    </row>
    <row r="8" spans="7:8">
      <c r="G8" t="s">
        <v>10</v>
      </c>
      <c r="H8" t="str">
        <f>TRIM("ADETYA PASSI")</f>
        <v>ADETYA PASSI</v>
      </c>
    </row>
    <row r="9" spans="7:8">
      <c r="G9" t="s">
        <v>11</v>
      </c>
      <c r="H9" t="str">
        <f>LEFT("ADETYA",3)</f>
        <v>ADE</v>
      </c>
    </row>
    <row r="10" spans="7:8">
      <c r="G10" t="s">
        <v>12</v>
      </c>
      <c r="H10" t="str">
        <f>RIGHT("ADETYA",3)</f>
        <v>TYA</v>
      </c>
    </row>
    <row r="11" spans="7:8">
      <c r="G11" t="s">
        <v>13</v>
      </c>
      <c r="H11" t="str">
        <f>MID("ADETYA",2,4)</f>
        <v>DETY</v>
      </c>
    </row>
    <row r="12" spans="7:8">
      <c r="G12" t="s">
        <v>14</v>
      </c>
      <c r="H12" t="str">
        <f>CONCATENATE("ADETYA"," ","PASSI")</f>
        <v>ADETYA PASSI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7:J18"/>
  <sheetViews>
    <sheetView topLeftCell="C5" workbookViewId="0">
      <selection activeCell="G19" sqref="G19"/>
    </sheetView>
  </sheetViews>
  <sheetFormatPr defaultRowHeight="15"/>
  <cols>
    <col min="6" max="6" width="45" customWidth="1"/>
    <col min="7" max="7" width="29.85546875" customWidth="1"/>
    <col min="8" max="8" width="34" customWidth="1"/>
    <col min="9" max="9" width="17.5703125" customWidth="1"/>
    <col min="10" max="10" width="17" customWidth="1"/>
  </cols>
  <sheetData>
    <row r="7" spans="6:10" ht="15.75" thickBot="1"/>
    <row r="8" spans="6:10" ht="42" thickTop="1" thickBot="1">
      <c r="F8" s="3" t="s">
        <v>15</v>
      </c>
      <c r="G8" s="4" t="s">
        <v>16</v>
      </c>
      <c r="H8" s="4" t="s">
        <v>17</v>
      </c>
      <c r="I8" s="4" t="s">
        <v>18</v>
      </c>
      <c r="J8" s="5" t="s">
        <v>19</v>
      </c>
    </row>
    <row r="9" spans="6:10" ht="21" thickBot="1">
      <c r="F9" s="6" t="s">
        <v>20</v>
      </c>
      <c r="G9" s="7" t="s">
        <v>21</v>
      </c>
      <c r="H9" s="7" t="s">
        <v>22</v>
      </c>
      <c r="I9" s="8"/>
      <c r="J9" s="9">
        <v>81</v>
      </c>
    </row>
    <row r="10" spans="6:10" ht="20.25" customHeight="1" thickBot="1">
      <c r="F10" s="6" t="s">
        <v>23</v>
      </c>
      <c r="G10" s="7" t="s">
        <v>24</v>
      </c>
      <c r="H10" s="7" t="s">
        <v>22</v>
      </c>
      <c r="I10" s="8"/>
      <c r="J10" s="9">
        <v>21</v>
      </c>
    </row>
    <row r="11" spans="6:10" ht="24" customHeight="1" thickBot="1">
      <c r="F11" s="6" t="s">
        <v>25</v>
      </c>
      <c r="G11" s="7" t="s">
        <v>26</v>
      </c>
      <c r="H11" s="7" t="s">
        <v>27</v>
      </c>
      <c r="I11" s="8"/>
      <c r="J11" s="9">
        <v>239</v>
      </c>
    </row>
    <row r="12" spans="6:10" ht="18.75" customHeight="1" thickBot="1">
      <c r="F12" s="6" t="s">
        <v>28</v>
      </c>
      <c r="G12" s="7" t="s">
        <v>21</v>
      </c>
      <c r="H12" s="7" t="s">
        <v>22</v>
      </c>
      <c r="I12" s="8"/>
      <c r="J12" s="9">
        <v>500</v>
      </c>
    </row>
    <row r="13" spans="6:10" ht="30.75" customHeight="1" thickBot="1">
      <c r="F13" s="6" t="s">
        <v>29</v>
      </c>
      <c r="G13" s="7" t="s">
        <v>30</v>
      </c>
      <c r="H13" s="7" t="s">
        <v>31</v>
      </c>
      <c r="I13" s="8"/>
      <c r="J13" s="9">
        <v>423</v>
      </c>
    </row>
    <row r="14" spans="6:10" ht="21.75" customHeight="1" thickBot="1">
      <c r="F14" s="6" t="s">
        <v>32</v>
      </c>
      <c r="G14" s="7" t="s">
        <v>33</v>
      </c>
      <c r="H14" s="7" t="s">
        <v>22</v>
      </c>
      <c r="I14" s="8"/>
      <c r="J14" s="9">
        <v>160</v>
      </c>
    </row>
    <row r="15" spans="6:10" ht="22.5" customHeight="1" thickBot="1">
      <c r="F15" s="6" t="s">
        <v>34</v>
      </c>
      <c r="G15" s="7" t="s">
        <v>35</v>
      </c>
      <c r="H15" s="7" t="s">
        <v>22</v>
      </c>
      <c r="I15" s="8"/>
      <c r="J15" s="9">
        <v>348</v>
      </c>
    </row>
    <row r="16" spans="6:10" ht="22.5" customHeight="1" thickBot="1">
      <c r="F16" s="6" t="s">
        <v>36</v>
      </c>
      <c r="G16" s="7" t="s">
        <v>35</v>
      </c>
      <c r="H16" s="7" t="s">
        <v>22</v>
      </c>
      <c r="I16" s="8"/>
      <c r="J16" s="9">
        <v>152</v>
      </c>
    </row>
    <row r="17" spans="6:10" ht="21" thickBot="1">
      <c r="F17" s="10" t="s">
        <v>37</v>
      </c>
      <c r="G17" s="11" t="s">
        <v>38</v>
      </c>
      <c r="H17" s="11" t="s">
        <v>31</v>
      </c>
      <c r="I17" s="12"/>
      <c r="J17" s="13">
        <v>369</v>
      </c>
    </row>
    <row r="18" spans="6:10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P17" sqref="P17"/>
    </sheetView>
  </sheetViews>
  <sheetFormatPr defaultRowHeight="15"/>
  <cols>
    <col min="15" max="15" width="15.28515625" customWidth="1"/>
  </cols>
  <sheetData>
    <row r="1" spans="1:26" ht="15.75" thickBot="1">
      <c r="A1" s="14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.75" thickTop="1" thickBot="1">
      <c r="A2" s="14"/>
      <c r="B2" s="16"/>
      <c r="C2" s="21" t="s">
        <v>39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thickBot="1">
      <c r="A3" s="14"/>
      <c r="B3" s="1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7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42" thickTop="1" thickBot="1">
      <c r="A4" s="14"/>
      <c r="B4" s="16"/>
      <c r="C4" s="24" t="s">
        <v>40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  <c r="O4" s="18" t="s">
        <v>41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6" customHeight="1" thickBot="1">
      <c r="A5" s="14"/>
      <c r="B5" s="16"/>
      <c r="C5" s="27" t="s">
        <v>42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9"/>
      <c r="O5" s="19" t="s">
        <v>43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8.75" thickBot="1">
      <c r="A6" s="14"/>
      <c r="B6" s="16"/>
      <c r="C6" s="27" t="s">
        <v>44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  <c r="O6" s="19" t="s">
        <v>45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8.75" thickBot="1">
      <c r="A7" s="14"/>
      <c r="B7" s="16"/>
      <c r="C7" s="27" t="s">
        <v>46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9"/>
      <c r="O7" s="19" t="s">
        <v>47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36" customHeight="1" thickBot="1">
      <c r="A8" s="14"/>
      <c r="B8" s="16"/>
      <c r="C8" s="27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19">
        <v>12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8.75" thickBot="1">
      <c r="A9" s="14"/>
      <c r="B9" s="16"/>
      <c r="C9" s="30" t="s">
        <v>49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  <c r="O9" s="20" t="s">
        <v>50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thickBo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thickBo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thickBo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thickBo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thickBo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thickBo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thickBo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thickBo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thickBo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thickBo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thickBo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thickBo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thickBo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thickBo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thickBo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thickBo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thickBo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thickBo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thickBo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thickBo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thickBo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thickBo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thickBo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thickBo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thickBo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thickBo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thickBo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thickBo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thickBo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thickBo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thickBo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thickBo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thickBo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thickBo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thickBo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thickBo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thickBo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thickBo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thickBo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thickBo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thickBo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thickBo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thickBo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thickBo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thickBo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thickBo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thickBo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thickBo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thickBo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thickBo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thickBo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thickBo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thickBo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thickBo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thickBo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thickBo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thickBo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thickBo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thickBo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thickBo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thickBo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thickBo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thickBo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thickBo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thickBo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thickBo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thickBo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thickBo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thickBo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thickBo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thickBo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thickBo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thickBo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thickBo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thickBo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thickBo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thickBo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thickBo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thickBo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thickBo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thickBo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thickBo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thickBo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thickBo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thickBo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thickBo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thickBo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thickBo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thickBo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thickBo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thickBo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thickBo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thickBo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thickBo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thickBo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thickBo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thickBo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thickBo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thickBo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thickBo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thickBo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thickBo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thickBo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thickBo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thickBo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thickBo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thickBo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thickBo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thickBo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thickBo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thickBo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thickBo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thickBo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thickBo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thickBo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thickBo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thickBo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thickBo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thickBo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thickBo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thickBo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thickBo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thickBo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thickBo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thickBo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thickBo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thickBo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thickBo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thickBo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thickBo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thickBo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thickBo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thickBo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thickBo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thickBo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thickBo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thickBo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thickBo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thickBo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thickBo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thickBo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thickBo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thickBo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thickBo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thickBo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thickBo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thickBo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thickBo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thickBo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thickBo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thickBo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thickBo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thickBo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thickBo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thickBo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thickBo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thickBo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thickBo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thickBo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thickBo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thickBo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thickBo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thickBo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thickBo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thickBo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thickBo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thickBo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thickBo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thickBo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thickBo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thickBo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thickBo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thickBo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thickBo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thickBo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thickBo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thickBo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thickBo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thickBo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thickBo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thickBo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thickBo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thickBo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thickBo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thickBo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thickBo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thickBo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thickBo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thickBo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thickBo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thickBo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thickBo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thickBo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thickBo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thickBo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thickBo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thickBo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thickBo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thickBo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thickBo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thickBo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thickBo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thickBo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thickBo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thickBo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thickBo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thickBo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thickBo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thickBo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thickBo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thickBo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thickBo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thickBo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thickBo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thickBo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thickBo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thickBo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thickBo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thickBo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thickBo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thickBo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thickBo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thickBo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thickBo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thickBo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thickBo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thickBo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thickBo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thickBo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thickBo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thickBo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thickBo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thickBo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thickBo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thickBo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thickBo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thickBo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thickBo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thickBo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thickBo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thickBo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thickBo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thickBo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thickBo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thickBo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thickBo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thickBo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thickBo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thickBo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thickBo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thickBo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thickBo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thickBo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thickBo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thickBo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thickBo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thickBo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thickBo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thickBo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thickBo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thickBo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thickBo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thickBo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thickBo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thickBo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thickBo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thickBo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thickBo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thickBo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thickBo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thickBo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thickBo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thickBo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thickBo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thickBo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thickBo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thickBo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thickBo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thickBo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thickBo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thickBo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thickBo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thickBo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thickBo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thickBo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thickBo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thickBo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thickBo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thickBo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thickBo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thickBo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thickBo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thickBo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thickBo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thickBo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thickBo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thickBo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thickBo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thickBo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thickBo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thickBo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thickBo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thickBo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thickBo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thickBo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thickBo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thickBo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thickBo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thickBo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thickBo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thickBo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thickBo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thickBo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thickBo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thickBo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thickBo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thickBo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thickBo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thickBo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thickBo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thickBo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thickBo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thickBo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thickBo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thickBo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thickBo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thickBo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thickBo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thickBo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thickBo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thickBo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thickBo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thickBo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thickBo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thickBo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thickBo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thickBo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thickBo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thickBo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thickBo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thickBo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thickBo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thickBo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thickBo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thickBo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thickBo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thickBo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thickBo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thickBo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thickBo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thickBo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thickBo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thickBo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thickBo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thickBo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thickBo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thickBo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thickBo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thickBo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thickBo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thickBo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thickBo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thickBo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thickBo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thickBo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thickBo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thickBo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thickBo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thickBo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thickBo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thickBo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thickBo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thickBo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thickBo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thickBo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thickBo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thickBo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thickBo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thickBo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thickBo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thickBo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thickBo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thickBo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thickBo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thickBo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thickBo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thickBo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thickBo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thickBo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thickBo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thickBo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thickBo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thickBo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thickBo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thickBo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thickBo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thickBo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thickBo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thickBo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thickBo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thickBo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thickBo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thickBo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thickBo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thickBo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thickBo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thickBo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thickBo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thickBo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thickBo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thickBo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thickBo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thickBo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thickBo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thickBo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thickBo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thickBo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thickBo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thickBo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thickBo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thickBo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thickBo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thickBo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thickBo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thickBo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thickBo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thickBo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thickBo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thickBo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thickBo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thickBo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thickBo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thickBo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thickBo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thickBo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thickBo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thickBo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thickBo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thickBo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thickBo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thickBo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thickBo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thickBo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thickBo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thickBo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thickBo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thickBo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thickBo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thickBo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thickBo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thickBo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thickBo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thickBo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thickBo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thickBo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thickBo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thickBo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thickBo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thickBo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thickBo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thickBo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thickBo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thickBo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thickBo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thickBo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thickBo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thickBo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thickBo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thickBo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thickBo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thickBo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thickBo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thickBo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thickBo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thickBo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thickBo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thickBo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thickBo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thickBo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thickBo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thickBo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thickBo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thickBo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thickBo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thickBo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thickBo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thickBo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thickBo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thickBo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thickBo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thickBo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thickBo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thickBo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thickBo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thickBo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thickBo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thickBo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thickBo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thickBo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thickBo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thickBo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thickBo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thickBo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thickBo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thickBo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thickBo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thickBo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thickBo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thickBo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thickBo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thickBo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thickBo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thickBo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thickBo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thickBo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thickBo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thickBo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thickBo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thickBo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thickBo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thickBo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thickBo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thickBo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thickBo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thickBo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thickBo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thickBo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thickBo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thickBo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thickBo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thickBo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thickBo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thickBo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thickBo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thickBo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thickBo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thickBo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thickBo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thickBo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thickBo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thickBo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thickBo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thickBo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thickBo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thickBo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thickBo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thickBo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thickBo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thickBo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thickBo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thickBo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thickBo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thickBo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thickBo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thickBo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thickBo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thickBo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thickBo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thickBo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thickBo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thickBo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thickBo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thickBo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thickBo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thickBo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thickBo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thickBo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thickBo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thickBo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thickBo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thickBo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thickBo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thickBo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thickBo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thickBo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thickBo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thickBo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thickBo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thickBo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thickBo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thickBo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thickBo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thickBo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thickBo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thickBo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thickBo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thickBo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thickBo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thickBo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thickBo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thickBo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thickBo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thickBo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thickBo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thickBo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thickBo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thickBo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thickBo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thickBo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thickBo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thickBo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thickBo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thickBo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thickBo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thickBo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thickBo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thickBo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thickBo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thickBo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thickBo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thickBo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thickBo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thickBo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thickBo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thickBo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thickBo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thickBo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thickBo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thickBo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thickBo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thickBo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thickBo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thickBo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thickBo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thickBo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thickBo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thickBo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thickBo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thickBo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thickBo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thickBo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thickBo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thickBo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thickBo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thickBo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thickBo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thickBo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thickBo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thickBo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thickBo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thickBo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thickBo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thickBo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thickBo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thickBo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thickBo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thickBo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thickBo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thickBo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thickBo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thickBo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thickBo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thickBo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thickBo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thickBo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thickBo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thickBo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thickBo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thickBo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thickBo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thickBo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thickBo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thickBo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thickBo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thickBo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thickBo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thickBo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thickBo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thickBo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thickBo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thickBo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thickBo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thickBo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thickBo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thickBo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thickBo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thickBo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thickBo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thickBo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thickBo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thickBo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thickBo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thickBo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thickBo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thickBo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thickBo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thickBo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thickBo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thickBo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thickBo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thickBo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thickBo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thickBo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thickBo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thickBo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thickBo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thickBo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thickBo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thickBo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thickBo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thickBo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thickBo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thickBo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thickBo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thickBo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thickBo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thickBo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thickBo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thickBo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thickBo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thickBo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thickBo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thickBo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thickBo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thickBo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thickBo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thickBo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thickBo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thickBo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thickBo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thickBo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thickBo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thickBo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thickBo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thickBo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thickBo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thickBo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thickBo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thickBo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thickBo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thickBo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thickBo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thickBo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thickBo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thickBo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thickBo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thickBo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thickBo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thickBo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thickBo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thickBo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thickBo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thickBo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thickBo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thickBo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thickBo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thickBo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thickBo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thickBo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thickBo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thickBo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thickBo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thickBo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thickBo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thickBo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thickBo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thickBo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thickBo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thickBo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thickBo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thickBo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thickBo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thickBo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thickBo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thickBo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thickBo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thickBo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thickBo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thickBo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thickBo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thickBo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thickBo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thickBo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thickBo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thickBo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thickBo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thickBo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thickBo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thickBo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thickBo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thickBo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thickBo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thickBo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thickBo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thickBo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thickBo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thickBo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thickBo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thickBo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thickBo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thickBo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thickBo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thickBo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thickBo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thickBo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thickBo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thickBo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thickBo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thickBo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thickBo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thickBo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thickBo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thickBo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thickBo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thickBo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thickBo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thickBo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thickBo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thickBo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thickBo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thickBo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thickBo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thickBo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thickBo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thickBo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thickBo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thickBo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thickBo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thickBo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thickBo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thickBo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thickBo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thickBo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thickBo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thickBo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thickBo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thickBo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thickBo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thickBo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thickBo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thickBo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thickBo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thickBo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thickBo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thickBo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thickBo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thickBo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thickBo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thickBo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thickBo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thickBo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thickBo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thickBo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thickBo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thickBo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thickBo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thickBo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thickBo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thickBo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thickBo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thickBo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thickBo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thickBo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thickBo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thickBo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thickBo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thickBo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thickBo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thickBo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thickBo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thickBo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thickBo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thickBo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thickBo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thickBo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thickBo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thickBo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thickBo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thickBo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thickBo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thickBo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thickBo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thickBo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thickBo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thickBo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thickBo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thickBo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thickBo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thickBo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thickBo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thickBo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thickBo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thickBo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thickBo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thickBo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thickBo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thickBo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thickBo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thickBo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thickBo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thickBo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thickBo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thickBo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thickBo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thickBo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thickBo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thickBo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thickBo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thickBo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thickBo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thickBo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thickBo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thickBo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thickBo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thickBo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thickBo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thickBo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thickBo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thickBo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thickBo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thickBo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thickBo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thickBo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thickBo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thickBo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thickBo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thickBo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thickBo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thickBo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thickBo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thickBo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thickBo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thickBo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thickBo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thickBo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thickBo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thickBo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thickBo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thickBo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thickBo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thickBo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thickBo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thickBo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thickBo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thickBo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thickBo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thickBo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thickBo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thickBo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thickBo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thickBo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thickBo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thickBo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thickBo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thickBo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thickBo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thickBo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thickBo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thickBo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thickBo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thickBo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thickBo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thickBo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thickBo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thickBo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thickBo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thickBo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thickBo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thickBo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thickBo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thickBo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thickBo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thickBo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thickBo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thickBo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thickBo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thickBo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thickBo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thickBo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thickBo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thickBo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thickBo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thickBo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thickBo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thickBo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thickBo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thickBo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thickBo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thickBo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thickBo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thickBo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thickBo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thickBo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thickBo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thickBo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thickBo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thickBo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thickBo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thickBo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thickBo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thickBo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7">
    <mergeCell ref="C2:O2"/>
    <mergeCell ref="C4:N4"/>
    <mergeCell ref="C5:N5"/>
    <mergeCell ref="C6:N6"/>
    <mergeCell ref="C7:N7"/>
    <mergeCell ref="C8:N8"/>
    <mergeCell ref="C9:N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A13" sqref="A13"/>
    </sheetView>
  </sheetViews>
  <sheetFormatPr defaultRowHeight="15"/>
  <cols>
    <col min="1" max="1" width="20.42578125" customWidth="1"/>
    <col min="2" max="2" width="24.42578125" customWidth="1"/>
    <col min="3" max="3" width="22.5703125" customWidth="1"/>
    <col min="15" max="15" width="17.42578125" customWidth="1"/>
  </cols>
  <sheetData>
    <row r="1" spans="1:26" ht="18" customHeight="1" thickTop="1" thickBot="1">
      <c r="A1" s="33" t="s">
        <v>51</v>
      </c>
      <c r="B1" s="34" t="s">
        <v>52</v>
      </c>
      <c r="C1" s="35" t="s">
        <v>53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5" customHeight="1" thickBot="1">
      <c r="A2" s="36" t="s">
        <v>54</v>
      </c>
      <c r="B2" s="37" t="s">
        <v>55</v>
      </c>
      <c r="C2" s="38" t="s">
        <v>56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7.25" customHeight="1" thickBot="1">
      <c r="A3" s="36" t="s">
        <v>57</v>
      </c>
      <c r="B3" s="37" t="s">
        <v>58</v>
      </c>
      <c r="C3" s="38" t="s">
        <v>59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7.25" customHeight="1" thickBot="1">
      <c r="A4" s="36" t="s">
        <v>60</v>
      </c>
      <c r="B4" s="37" t="s">
        <v>61</v>
      </c>
      <c r="C4" s="38" t="s">
        <v>62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customHeight="1" thickBot="1">
      <c r="A5" s="36" t="s">
        <v>63</v>
      </c>
      <c r="B5" s="37" t="s">
        <v>64</v>
      </c>
      <c r="C5" s="38" t="s">
        <v>65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9.5" customHeight="1" thickBot="1">
      <c r="A6" s="39" t="s">
        <v>66</v>
      </c>
      <c r="B6" s="40" t="s">
        <v>67</v>
      </c>
      <c r="C6" s="41" t="s">
        <v>68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6.5" thickTop="1" thickBot="1">
      <c r="A7" s="14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.75" thickTop="1" thickBot="1">
      <c r="A8" s="14"/>
      <c r="B8" s="16"/>
      <c r="C8" s="44" t="s">
        <v>69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thickBot="1">
      <c r="A9" s="14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7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9.5" customHeight="1" thickTop="1" thickBot="1">
      <c r="A10" s="14"/>
      <c r="B10" s="16"/>
      <c r="C10" s="47" t="s">
        <v>40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  <c r="O10" s="42" t="s">
        <v>41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customHeight="1" thickTop="1" thickBot="1">
      <c r="A11" s="14"/>
      <c r="B11" s="16"/>
      <c r="C11" s="50" t="s">
        <v>70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  <c r="O11" s="19" t="s">
        <v>71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6" customHeight="1" thickBot="1">
      <c r="A12" s="14"/>
      <c r="B12" s="16"/>
      <c r="C12" s="27" t="s">
        <v>72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  <c r="O12" s="19" t="s">
        <v>73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42" customHeight="1" thickBot="1">
      <c r="A13" s="14"/>
      <c r="B13" s="16"/>
      <c r="C13" s="27" t="s">
        <v>74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  <c r="O13" s="43" t="s">
        <v>75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57.75" customHeight="1" thickBot="1">
      <c r="A14" s="14"/>
      <c r="B14" s="16"/>
      <c r="C14" s="27" t="s">
        <v>76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  <c r="O14" s="19" t="s">
        <v>77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36" customHeight="1" thickBot="1">
      <c r="A15" s="14"/>
      <c r="B15" s="16"/>
      <c r="C15" s="30" t="s">
        <v>78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5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thickBo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thickBo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thickBo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thickBo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thickBo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thickBo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thickBo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thickBo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thickBo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thickBo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thickBo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thickBo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thickBo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thickBo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thickBo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thickBo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thickBo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thickBo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thickBo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thickBo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thickBo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thickBo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thickBo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thickBo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thickBo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thickBo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thickBo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thickBo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thickBo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thickBo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thickBo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thickBo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thickBo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thickBo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thickBo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thickBo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thickBo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thickBo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thickBo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thickBo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thickBo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thickBo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thickBo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thickBo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thickBo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thickBo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thickBo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thickBo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thickBo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thickBo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thickBo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thickBo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thickBo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thickBo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thickBo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thickBo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thickBo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thickBo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thickBo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thickBo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thickBo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thickBo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thickBo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thickBo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thickBo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thickBo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thickBo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thickBo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thickBo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thickBo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thickBo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thickBo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thickBo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thickBo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thickBo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thickBo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thickBo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thickBo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thickBo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thickBo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thickBo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thickBo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thickBo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thickBo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thickBo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thickBo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thickBo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thickBo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thickBo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thickBo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thickBo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thickBo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thickBo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thickBo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thickBo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thickBo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thickBo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thickBo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thickBo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thickBo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thickBo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thickBo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thickBo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thickBo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thickBo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thickBo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thickBo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thickBo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thickBo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thickBo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thickBo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thickBo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thickBo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thickBo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thickBo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thickBo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thickBo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thickBo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thickBo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thickBo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thickBo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thickBo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thickBo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thickBo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thickBo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thickBo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thickBo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thickBo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thickBo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thickBo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thickBo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thickBo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thickBo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thickBo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thickBo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thickBo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thickBo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thickBo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thickBo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thickBo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thickBo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thickBo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thickBo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thickBo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thickBo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thickBo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thickBo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thickBo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thickBo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thickBo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thickBo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thickBo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thickBo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thickBo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thickBo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thickBo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thickBo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thickBo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thickBo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thickBo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thickBo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thickBo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thickBo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thickBo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thickBo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thickBo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thickBo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thickBo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thickBo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thickBo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thickBo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thickBo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thickBo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thickBo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thickBo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thickBo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thickBo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thickBo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thickBo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thickBo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thickBo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thickBo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thickBo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thickBo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thickBo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thickBo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thickBo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thickBo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thickBo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thickBo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thickBo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thickBo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thickBo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thickBo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thickBo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thickBo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thickBo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thickBo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thickBo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thickBo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thickBo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thickBo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thickBo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thickBo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thickBo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thickBo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thickBo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thickBo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thickBo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thickBo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thickBo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thickBo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thickBo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thickBo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thickBo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thickBo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thickBo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thickBo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thickBo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thickBo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thickBo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thickBo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thickBo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thickBo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thickBo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thickBo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thickBo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thickBo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thickBo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thickBo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thickBo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thickBo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thickBo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thickBo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thickBo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thickBo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thickBo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thickBo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thickBo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thickBo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thickBo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thickBo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thickBo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thickBo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thickBo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thickBo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thickBo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thickBo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thickBo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thickBo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thickBo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thickBo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thickBo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thickBo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thickBo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thickBo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thickBo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thickBo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thickBo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thickBo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thickBo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thickBo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thickBo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thickBo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thickBo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thickBo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thickBo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thickBo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thickBo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thickBo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thickBo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thickBo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thickBo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thickBo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thickBo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thickBo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thickBo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thickBo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thickBo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thickBo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thickBo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thickBo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thickBo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thickBo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thickBo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thickBo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thickBo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thickBo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thickBo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thickBo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thickBo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thickBo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thickBo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thickBo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thickBo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thickBo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thickBo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thickBo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thickBo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thickBo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thickBo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thickBo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thickBo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thickBo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thickBo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thickBo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thickBo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thickBo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thickBo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thickBo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thickBo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thickBo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thickBo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thickBo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thickBo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thickBo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thickBo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thickBo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thickBo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thickBo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thickBo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thickBo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thickBo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thickBo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thickBo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thickBo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thickBo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thickBo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thickBo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thickBo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thickBo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thickBo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thickBo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thickBo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thickBo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thickBo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thickBo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thickBo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thickBo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thickBo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thickBo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thickBo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thickBo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thickBo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thickBo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thickBo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thickBo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thickBo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thickBo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thickBo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thickBo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thickBo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thickBo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thickBo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thickBo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thickBo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thickBo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thickBo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thickBo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thickBo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thickBo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thickBo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thickBo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thickBo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thickBo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thickBo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thickBo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thickBo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thickBo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thickBo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thickBo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thickBo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thickBo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thickBo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thickBo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thickBo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thickBo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thickBo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thickBo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thickBo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thickBo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thickBo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thickBo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thickBo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thickBo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thickBo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thickBo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thickBo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thickBo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thickBo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thickBo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thickBo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thickBo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thickBo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thickBo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thickBo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thickBo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thickBo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thickBo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thickBo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thickBo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thickBo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thickBo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thickBo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thickBo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thickBo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thickBo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thickBo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thickBo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thickBo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thickBo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thickBo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thickBo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thickBo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thickBo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thickBo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thickBo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thickBo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thickBo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thickBo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thickBo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thickBo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thickBo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thickBo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thickBo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thickBo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thickBo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thickBo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thickBo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thickBo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thickBo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thickBo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thickBo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thickBo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thickBo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thickBo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thickBo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thickBo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thickBo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thickBo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thickBo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thickBo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thickBo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thickBo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thickBo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thickBo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thickBo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thickBo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thickBo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thickBo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thickBo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thickBo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thickBo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thickBo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thickBo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thickBo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thickBo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thickBo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thickBo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thickBo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thickBo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thickBo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thickBo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thickBo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thickBo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thickBo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thickBo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thickBo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thickBo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thickBo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thickBo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thickBo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thickBo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thickBo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thickBo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thickBo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thickBo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thickBo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thickBo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thickBo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thickBo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thickBo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thickBo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thickBo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thickBo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thickBo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thickBo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thickBo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thickBo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thickBo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thickBo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thickBo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thickBo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thickBo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thickBo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thickBo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thickBo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thickBo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thickBo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thickBo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thickBo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thickBo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thickBo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thickBo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thickBo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thickBo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thickBo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thickBo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thickBo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thickBo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thickBo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thickBo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thickBo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thickBo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thickBo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thickBo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thickBo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thickBo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thickBo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thickBo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thickBo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thickBo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thickBo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thickBo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thickBo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thickBo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thickBo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thickBo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thickBo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thickBo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thickBo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thickBo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thickBo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thickBo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thickBo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thickBo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thickBo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thickBo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thickBo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thickBo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thickBo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thickBo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thickBo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thickBo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thickBo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thickBo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thickBo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thickBo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thickBo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thickBo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thickBo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thickBo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thickBo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thickBo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thickBo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thickBo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thickBo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thickBo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thickBo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thickBo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thickBo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thickBo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thickBo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thickBo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thickBo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thickBo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thickBo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thickBo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thickBo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thickBo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thickBo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thickBo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thickBo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thickBo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thickBo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thickBo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thickBo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thickBo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thickBo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thickBo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thickBo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thickBo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thickBo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thickBo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thickBo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thickBo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thickBo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thickBo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thickBo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thickBo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thickBo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thickBo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thickBo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thickBo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thickBo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thickBo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thickBo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thickBo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thickBo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thickBo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thickBo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thickBo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thickBo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thickBo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thickBo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thickBo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thickBo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thickBo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thickBo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thickBo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thickBo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thickBo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thickBo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thickBo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thickBo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thickBo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thickBo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thickBo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thickBo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thickBo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thickBo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thickBo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thickBo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thickBo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thickBo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thickBo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thickBo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thickBo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thickBo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thickBo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thickBo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thickBo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thickBo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thickBo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thickBo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thickBo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thickBo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thickBo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thickBo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thickBo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thickBo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thickBo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thickBo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thickBo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thickBo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thickBo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thickBo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thickBo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thickBo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thickBo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thickBo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thickBo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thickBo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thickBo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thickBo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thickBo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thickBo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thickBo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thickBo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thickBo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thickBo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thickBo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thickBo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thickBo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thickBo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thickBo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thickBo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thickBo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thickBo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thickBo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thickBo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thickBo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thickBo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thickBo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thickBo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thickBo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thickBo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thickBo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thickBo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thickBo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thickBo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thickBo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thickBo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thickBo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thickBo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thickBo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thickBo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thickBo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thickBo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thickBo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thickBo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thickBo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thickBo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thickBo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thickBo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thickBo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thickBo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thickBo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thickBo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thickBo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thickBo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thickBo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thickBo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thickBo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thickBo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thickBo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thickBo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thickBo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thickBo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thickBo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thickBo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thickBo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thickBo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thickBo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thickBo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thickBo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thickBo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thickBo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thickBo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thickBo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thickBo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thickBo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thickBo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thickBo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thickBo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thickBo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thickBo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thickBo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thickBo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thickBo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thickBo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thickBo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thickBo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thickBo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thickBo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thickBo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thickBo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thickBo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thickBo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thickBo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thickBo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thickBo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thickBo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thickBo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thickBo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thickBo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thickBo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thickBo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thickBo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thickBo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thickBo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thickBo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thickBo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thickBo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thickBo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thickBo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thickBo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thickBo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thickBo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thickBo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thickBo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thickBo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thickBo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thickBo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thickBo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thickBo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thickBo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thickBo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thickBo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thickBo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thickBo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thickBo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thickBo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thickBo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thickBo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thickBo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thickBo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thickBo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thickBo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thickBo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thickBo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thickBo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thickBo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thickBo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thickBo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thickBo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thickBo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thickBo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thickBo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thickBo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thickBo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thickBo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thickBo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thickBo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thickBo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thickBo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thickBo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thickBo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thickBo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thickBo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thickBo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thickBo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thickBo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thickBo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thickBo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thickBo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thickBo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thickBo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thickBo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thickBo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thickBo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thickBo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thickBo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thickBo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thickBo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thickBo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thickBo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thickBo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thickBo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thickBo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thickBo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thickBo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thickBo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thickBo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thickBo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thickBo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thickBo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thickBo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thickBo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thickBo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thickBo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thickBo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thickBo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thickBo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thickBo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thickBo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thickBo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thickBo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thickBo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thickBo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thickBo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thickBo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thickBo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thickBo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thickBo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thickBo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thickBo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thickBo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thickBo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thickBo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thickBo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thickBo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thickBo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thickBo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thickBo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thickBo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thickBo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thickBo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thickBo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thickBo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thickBo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thickBo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thickBo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thickBo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thickBo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thickBo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thickBo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thickBo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thickBo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thickBo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thickBo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thickBo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thickBo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thickBo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thickBo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thickBo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thickBo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thickBo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thickBo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thickBo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thickBo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thickBo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thickBo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thickBo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thickBo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thickBo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thickBo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thickBo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thickBo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thickBo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thickBo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thickBo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thickBo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thickBo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thickBo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thickBo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thickBo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thickBo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thickBo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thickBo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thickBo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thickBo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thickBo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thickBo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thickBo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thickBo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thickBo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thickBo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thickBo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thickBo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thickBo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thickBo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thickBo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thickBo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thickBo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thickBo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thickBo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thickBo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thickBo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thickBo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thickBo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thickBo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thickBo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thickBo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thickBo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thickBo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thickBo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thickBo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thickBo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thickBo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thickBo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thickBo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thickBo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thickBo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thickBo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thickBo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thickBo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thickBo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thickBo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thickBo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thickBo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thickBo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thickBo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thickBo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thickBo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thickBo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thickBo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thickBo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thickBo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thickBo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thickBo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thickBo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thickBo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thickBo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thickBo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thickBo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thickBo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thickBo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thickBo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thickBo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thickBo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thickBo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thickBo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thickBo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thickBo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thickBo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thickBo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thickBo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thickBo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thickBo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thickBo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thickBo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thickBo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thickBo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thickBo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thickBo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thickBo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thickBo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thickBo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thickBo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thickBo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thickBo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thickBo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thickBo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thickBo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7">
    <mergeCell ref="C15:O15"/>
    <mergeCell ref="C8:O8"/>
    <mergeCell ref="C10:N10"/>
    <mergeCell ref="C11:N11"/>
    <mergeCell ref="C12:N12"/>
    <mergeCell ref="C13:N13"/>
    <mergeCell ref="C14:N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F9" sqref="F9"/>
    </sheetView>
  </sheetViews>
  <sheetFormatPr defaultRowHeight="15"/>
  <cols>
    <col min="4" max="4" width="24.7109375" customWidth="1"/>
    <col min="5" max="5" width="38.7109375" customWidth="1"/>
    <col min="6" max="6" width="56.28515625" customWidth="1"/>
    <col min="15" max="15" width="25.28515625" customWidth="1"/>
    <col min="16" max="16" width="17.7109375" customWidth="1"/>
  </cols>
  <sheetData>
    <row r="1" spans="1:26" ht="19.5" thickTop="1" thickBot="1">
      <c r="A1" s="54"/>
      <c r="B1" s="72">
        <v>46004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6.5" thickTop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thickBo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3.25" customHeight="1" thickTop="1" thickBot="1">
      <c r="A5" s="16"/>
      <c r="B5" s="24" t="s">
        <v>40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6"/>
      <c r="N5" s="55"/>
      <c r="O5" s="56"/>
      <c r="P5" s="42" t="s">
        <v>41</v>
      </c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6" customHeight="1" thickBot="1">
      <c r="A6" s="16"/>
      <c r="B6" s="66" t="s">
        <v>79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  <c r="P6" s="16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7" customHeight="1" thickBot="1">
      <c r="A7" s="16"/>
      <c r="B7" s="14"/>
      <c r="C7" s="16"/>
      <c r="D7" s="57" t="s">
        <v>80</v>
      </c>
      <c r="E7" s="57" t="s">
        <v>81</v>
      </c>
      <c r="F7" s="57" t="s">
        <v>82</v>
      </c>
      <c r="G7" s="14"/>
      <c r="H7" s="14"/>
      <c r="I7" s="14"/>
      <c r="J7" s="14"/>
      <c r="K7" s="14"/>
      <c r="L7" s="14"/>
      <c r="M7" s="14"/>
      <c r="N7" s="14"/>
      <c r="O7" s="16"/>
      <c r="P7" s="16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4" customHeight="1" thickBot="1">
      <c r="A8" s="16"/>
      <c r="B8" s="14"/>
      <c r="C8" s="16"/>
      <c r="D8" s="58" t="s">
        <v>83</v>
      </c>
      <c r="E8" s="59" t="s">
        <v>84</v>
      </c>
      <c r="F8" s="60">
        <v>46004</v>
      </c>
      <c r="G8" s="14"/>
      <c r="H8" s="14"/>
      <c r="I8" s="14"/>
      <c r="J8" s="14"/>
      <c r="K8" s="14"/>
      <c r="L8" s="14"/>
      <c r="M8" s="14"/>
      <c r="N8" s="14"/>
      <c r="O8" s="16"/>
      <c r="P8" s="16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7" customHeight="1" thickBot="1">
      <c r="A9" s="16"/>
      <c r="B9" s="61"/>
      <c r="C9" s="62"/>
      <c r="D9" s="58" t="s">
        <v>85</v>
      </c>
      <c r="E9" s="59" t="s">
        <v>86</v>
      </c>
      <c r="F9" s="73">
        <v>46004.23541666667</v>
      </c>
      <c r="G9" s="61"/>
      <c r="H9" s="61"/>
      <c r="I9" s="61"/>
      <c r="J9" s="61"/>
      <c r="K9" s="61"/>
      <c r="L9" s="61"/>
      <c r="M9" s="61"/>
      <c r="N9" s="61"/>
      <c r="O9" s="62"/>
      <c r="P9" s="62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36" customHeight="1" thickBot="1">
      <c r="A10" s="16"/>
      <c r="B10" s="66" t="s">
        <v>87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8"/>
      <c r="P10" s="19">
        <v>-186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4.75" customHeight="1" thickBot="1">
      <c r="A11" s="16"/>
      <c r="B11" s="63" t="s">
        <v>88</v>
      </c>
      <c r="C11" s="61"/>
      <c r="D11" s="61"/>
      <c r="E11" s="61"/>
      <c r="F11" s="61"/>
      <c r="G11" s="61"/>
      <c r="H11" s="61"/>
      <c r="I11" s="61"/>
      <c r="J11" s="8"/>
      <c r="K11" s="8"/>
      <c r="L11" s="61"/>
      <c r="M11" s="61"/>
      <c r="N11" s="61"/>
      <c r="O11" s="62"/>
      <c r="P11" s="64" t="s">
        <v>89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6" customHeight="1" thickBot="1">
      <c r="A12" s="16"/>
      <c r="B12" s="69" t="s">
        <v>90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1"/>
      <c r="P12" s="65">
        <v>45998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thickBo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thickBo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thickBo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thickBo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thickBo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thickBo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thickBo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thickBo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thickBo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thickBo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thickBo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thickBo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thickBo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thickBo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thickBo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thickBo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thickBo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thickBo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thickBo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thickBo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thickBo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thickBo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thickBo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thickBo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thickBo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thickBo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thickBo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thickBo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thickBo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thickBo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thickBo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thickBo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thickBo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thickBo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thickBo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thickBo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thickBo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thickBo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thickBo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thickBo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thickBo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thickBo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thickBo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thickBo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thickBo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thickBo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thickBo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thickBo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thickBo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thickBo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thickBo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thickBo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thickBo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thickBo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thickBo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thickBo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thickBo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thickBo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thickBo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thickBo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thickBo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thickBo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thickBo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thickBo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thickBo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thickBo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thickBo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thickBo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thickBo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thickBo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thickBo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thickBo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thickBo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thickBo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thickBo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thickBo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thickBo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thickBo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thickBo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thickBo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thickBo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thickBo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thickBo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thickBo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thickBo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thickBo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thickBo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thickBo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thickBo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thickBo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thickBo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thickBo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thickBo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thickBo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thickBo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thickBo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thickBo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thickBo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thickBo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thickBo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thickBo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thickBo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thickBo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thickBo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thickBo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thickBo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thickBo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thickBo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thickBo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thickBo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thickBo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thickBo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thickBo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thickBo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thickBo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thickBo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thickBo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thickBo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thickBo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thickBo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thickBo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thickBo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thickBo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thickBo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thickBo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thickBo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thickBo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thickBo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thickBo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thickBo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thickBo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thickBo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thickBo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thickBo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thickBo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thickBo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thickBo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thickBo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thickBo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thickBo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thickBo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thickBo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thickBo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thickBo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thickBo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thickBo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thickBo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thickBo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thickBo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thickBo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thickBo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thickBo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thickBo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thickBo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thickBo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thickBo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thickBo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thickBo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thickBo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thickBo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thickBo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thickBo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thickBo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thickBo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thickBo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thickBo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thickBo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thickBo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thickBo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thickBo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thickBo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thickBo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thickBo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thickBo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thickBo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thickBo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thickBo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thickBo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thickBo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thickBo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thickBo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thickBo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thickBo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thickBo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thickBo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thickBo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thickBo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thickBo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thickBo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thickBo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thickBo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thickBo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thickBo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thickBo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thickBo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thickBo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thickBo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thickBo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thickBo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thickBo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thickBo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thickBo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thickBo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thickBo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thickBo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thickBo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thickBo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thickBo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thickBo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thickBo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thickBo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thickBo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thickBo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thickBo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thickBo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thickBo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thickBo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thickBo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thickBo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thickBo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thickBo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thickBo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thickBo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thickBo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thickBo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thickBo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thickBo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thickBo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thickBo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thickBo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thickBo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thickBo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thickBo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thickBo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thickBo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thickBo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thickBo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thickBo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thickBo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thickBo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thickBo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thickBo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thickBo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thickBo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thickBo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thickBo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thickBo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thickBo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thickBo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thickBo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thickBo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thickBo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thickBo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thickBo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thickBo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thickBo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thickBo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thickBo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thickBo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thickBo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thickBo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thickBo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thickBo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thickBo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thickBo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thickBo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thickBo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thickBo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thickBo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thickBo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thickBo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thickBo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thickBo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thickBo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thickBo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thickBo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thickBo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thickBo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thickBo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thickBo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thickBo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thickBo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thickBo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thickBo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thickBo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thickBo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thickBo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thickBo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thickBo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thickBo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thickBo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thickBo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thickBo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thickBo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thickBo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thickBo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thickBo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thickBo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thickBo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thickBo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thickBo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thickBo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thickBo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thickBo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thickBo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thickBo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thickBo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thickBo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thickBo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thickBo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thickBo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thickBo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thickBo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thickBo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thickBo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thickBo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thickBo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thickBo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thickBo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thickBo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thickBo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thickBo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thickBo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thickBo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thickBo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thickBo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thickBo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thickBo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thickBo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thickBo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thickBo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thickBo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thickBo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thickBo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thickBo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thickBo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thickBo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thickBo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thickBo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thickBo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thickBo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thickBo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thickBo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thickBo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thickBo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thickBo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thickBo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thickBo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thickBo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thickBo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thickBo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thickBo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thickBo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thickBo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thickBo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thickBo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thickBo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thickBo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thickBo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thickBo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thickBo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thickBo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thickBo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thickBo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thickBo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thickBo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thickBo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thickBo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thickBo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thickBo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thickBo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thickBo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thickBo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thickBo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thickBo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thickBo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thickBo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thickBo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thickBo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thickBo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thickBo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thickBo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thickBo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thickBo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thickBo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thickBo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thickBo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thickBo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thickBo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thickBo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thickBo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thickBo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thickBo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thickBo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thickBo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thickBo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thickBo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thickBo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thickBo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thickBo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thickBo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thickBo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thickBo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thickBo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thickBo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thickBo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thickBo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thickBo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thickBo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thickBo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thickBo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thickBo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thickBo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thickBo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thickBo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thickBo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thickBo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thickBo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thickBo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thickBo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thickBo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thickBo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thickBo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thickBo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thickBo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thickBo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thickBo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thickBo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thickBo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thickBo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thickBo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thickBo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thickBo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thickBo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thickBo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thickBo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thickBo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thickBo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thickBo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thickBo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thickBo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thickBo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thickBo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thickBo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thickBo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thickBo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thickBo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thickBo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thickBo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thickBo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thickBo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thickBo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thickBo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thickBo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thickBo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thickBo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thickBo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thickBo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thickBo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thickBo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thickBo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thickBo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thickBo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thickBo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thickBo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thickBo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thickBo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thickBo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thickBo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thickBo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thickBo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thickBo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thickBo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thickBo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thickBo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thickBo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thickBo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thickBo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thickBo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thickBo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thickBo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thickBo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thickBo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thickBo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thickBo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thickBo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thickBo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thickBo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thickBo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thickBo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thickBo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thickBo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thickBo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thickBo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thickBo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thickBo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thickBo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thickBo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thickBo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thickBo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thickBo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thickBo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thickBo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thickBo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thickBo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thickBo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thickBo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thickBo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thickBo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thickBo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thickBo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thickBo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thickBo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thickBo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thickBo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thickBo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thickBo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thickBo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thickBo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thickBo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thickBo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thickBo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thickBo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thickBo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thickBo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thickBo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thickBo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thickBo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thickBo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thickBo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thickBo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thickBo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thickBo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thickBo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thickBo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thickBo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thickBo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thickBo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thickBo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thickBo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thickBo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thickBo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thickBo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thickBo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thickBo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thickBo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thickBo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thickBo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thickBo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thickBo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thickBo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thickBo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thickBo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thickBo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thickBo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thickBo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thickBo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thickBo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thickBo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thickBo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thickBo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thickBo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thickBo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thickBo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thickBo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thickBo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thickBo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thickBo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thickBo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thickBo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thickBo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thickBo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thickBo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thickBo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thickBo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thickBo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thickBo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thickBo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thickBo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thickBo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thickBo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thickBo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thickBo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thickBo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thickBo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thickBo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thickBo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thickBo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thickBo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thickBo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thickBo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thickBo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thickBo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thickBo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thickBo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thickBo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thickBo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thickBo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thickBo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thickBo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thickBo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thickBo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thickBo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thickBo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thickBo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thickBo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thickBo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thickBo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thickBo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thickBo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thickBo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thickBo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thickBo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thickBo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thickBo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thickBo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thickBo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thickBo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thickBo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thickBo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thickBo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thickBo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thickBo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thickBo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thickBo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thickBo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thickBo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thickBo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thickBo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thickBo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thickBo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thickBo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thickBo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thickBo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thickBo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thickBo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thickBo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thickBo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thickBo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thickBo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thickBo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thickBo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thickBo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thickBo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thickBo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thickBo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thickBo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thickBo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thickBo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thickBo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thickBo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thickBo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thickBo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thickBo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thickBo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thickBo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thickBo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thickBo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thickBo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thickBo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thickBo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thickBo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thickBo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thickBo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thickBo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thickBo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thickBo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thickBo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thickBo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thickBo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thickBo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thickBo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thickBo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thickBo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thickBo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thickBo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thickBo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thickBo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thickBo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thickBo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thickBo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thickBo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thickBo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thickBo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thickBo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thickBo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thickBo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thickBo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thickBo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thickBo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thickBo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thickBo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thickBo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thickBo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thickBo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thickBo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thickBo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thickBo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thickBo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thickBo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thickBo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thickBo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thickBo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thickBo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thickBo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thickBo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thickBo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thickBo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thickBo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thickBo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thickBo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thickBo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thickBo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thickBo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thickBo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thickBo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thickBo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thickBo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thickBo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thickBo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thickBo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thickBo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thickBo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thickBo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thickBo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thickBo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thickBo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thickBo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thickBo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thickBo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thickBo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thickBo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thickBo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thickBo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thickBo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thickBo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thickBo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thickBo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thickBo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thickBo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thickBo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thickBo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thickBo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thickBo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thickBo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thickBo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thickBo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thickBo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thickBo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thickBo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thickBo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thickBo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thickBo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thickBo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thickBo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thickBo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thickBo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thickBo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thickBo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thickBo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thickBo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thickBo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thickBo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thickBo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thickBo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thickBo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thickBo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thickBo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thickBo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thickBo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thickBo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thickBo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thickBo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thickBo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thickBo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thickBo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thickBo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thickBo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thickBo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thickBo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thickBo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thickBo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thickBo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thickBo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thickBo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thickBo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thickBo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thickBo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thickBo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thickBo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thickBo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thickBo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thickBo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thickBo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thickBo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thickBo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thickBo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thickBo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thickBo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thickBo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thickBo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thickBo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thickBo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thickBo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thickBo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thickBo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thickBo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thickBo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thickBo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thickBo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thickBo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thickBo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thickBo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thickBo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thickBo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thickBo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thickBo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thickBo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thickBo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thickBo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thickBo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thickBo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thickBo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thickBo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thickBo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thickBo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thickBo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thickBo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thickBo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thickBo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thickBo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thickBo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thickBo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thickBo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thickBo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thickBo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thickBo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thickBo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thickBo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thickBo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thickBo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thickBo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thickBo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thickBo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thickBo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thickBo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thickBo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thickBo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thickBo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thickBo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thickBo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thickBo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thickBo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thickBo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thickBo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thickBo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thickBo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thickBo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thickBo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thickBo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thickBo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thickBo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thickBo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thickBo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thickBo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thickBo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thickBo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thickBo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thickBo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thickBo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thickBo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thickBo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thickBo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thickBo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thickBo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thickBo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thickBo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thickBo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thickBo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thickBo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thickBo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thickBo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thickBo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thickBo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thickBo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thickBo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thickBo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thickBo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thickBo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thickBo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thickBo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thickBo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thickBo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thickBo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thickBo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thickBo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thickBo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thickBo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thickBo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thickBo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thickBo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thickBo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thickBo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thickBo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thickBo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thickBo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thickBo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thickBo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thickBo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thickBo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thickBo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thickBo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thickBo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thickBo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thickBo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thickBo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thickBo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thickBo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thickBo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thickBo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thickBo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thickBo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thickBo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thickBo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thickBo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thickBo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thickBo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thickBo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thickBo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thickBo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thickBo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thickBo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thickBo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thickBo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thickBo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thickBo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thickBo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thickBo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thickBo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thickBo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thickBo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thickBo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thickBo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thickBo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thickBo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thickBo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thickBo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thickBo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thickBo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thickBo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thickBo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thickBo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thickBo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thickBo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thickBo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thickBo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thickBo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thickBo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thickBo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thickBo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thickBo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thickBo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thickBo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thickBo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thickBo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thickBo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thickBo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thickBo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thickBo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thickBo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thickBo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thickBo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thickBo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thickBo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thickBo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thickBo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thickBo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thickBo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thickBo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thickBo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thickBo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thickBo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thickBo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thickBo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thickBo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thickBo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thickBo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thickBo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B5:M5"/>
    <mergeCell ref="B6:O6"/>
    <mergeCell ref="B10:O10"/>
    <mergeCell ref="B12:O12"/>
  </mergeCells>
  <hyperlinks>
    <hyperlink ref="F9" r:id="rId1" display="D:\aditya\Documents\ASSIGNMENT.xls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QUESTION2</vt:lpstr>
      <vt:lpstr>Question3</vt:lpstr>
      <vt:lpstr>QUESTION5</vt:lpstr>
      <vt:lpstr>QUESTION 6</vt:lpstr>
      <vt:lpstr>QUESTION7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2025-12-13T13:28:03Z</dcterms:created>
  <dcterms:modified xsi:type="dcterms:W3CDTF">2025-12-13T15:51:38Z</dcterms:modified>
</cp:coreProperties>
</file>